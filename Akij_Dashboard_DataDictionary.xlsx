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&amp; Overview" sheetId="1" state="visible" r:id="rId1"/>
    <sheet name="Sources" sheetId="2" state="visible" r:id="rId2"/>
    <sheet name="Production OEE" sheetId="3" state="visible" r:id="rId3"/>
    <sheet name="NPT pct" sheetId="4" state="visible" r:id="rId4"/>
    <sheet name="Output" sheetId="5" state="visible" r:id="rId5"/>
    <sheet name="Planning" sheetId="6" state="visible" r:id="rId6"/>
    <sheet name="Sched Maint" sheetId="7" state="visible" r:id="rId7"/>
    <sheet name="MOH" sheetId="8" state="visible" r:id="rId8"/>
    <sheet name="Machine OEE" sheetId="9" state="visible" r:id="rId9"/>
    <sheet name="Other" sheetId="10" state="visible" r:id="rId10"/>
    <sheet name="Frontend Map" sheetId="11" state="visible" r:id="rId11"/>
    <sheet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A5F"/>
      <sz val="16"/>
    </font>
    <font>
      <i val="1"/>
      <color rgb="00555555"/>
      <sz val="10"/>
    </font>
    <font>
      <sz val="10"/>
    </font>
    <font>
      <b val="1"/>
      <sz val="11"/>
    </font>
    <font>
      <b val="1"/>
      <sz val="10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AKIJ GROUP MANUFACTURING PERFORMANCE DASHBOARD</t>
        </is>
      </c>
    </row>
    <row r="2">
      <c r="A2" s="2" t="inlineStr">
        <is>
          <t>Data-Source &amp; Calculation Manual (how to rebuild it exactly)</t>
        </is>
      </c>
    </row>
    <row r="4" ht="52" customHeight="1">
      <c r="A4" s="3" t="inlineStr">
        <is>
          <t>Every section of the dashboard, its exact source database/table/column, and the calculation. Map each section to the API endpoint and Frontend code that renders it. Reusable reference for a rebuild.</t>
        </is>
      </c>
    </row>
    <row r="6">
      <c r="A6" s="4" t="inlineStr">
        <is>
          <t>Environment</t>
        </is>
      </c>
    </row>
    <row r="7" ht="44" customHeight="1">
      <c r="A7" s="5" t="inlineStr">
        <is>
          <t>Database</t>
        </is>
      </c>
      <c r="B7" s="6" t="inlineStr">
        <is>
          <t>iBOSDDD (SQL Server), exposed via the MCP proxy at https://arl-mcp.ibos.io/mcp (read-only queries). Schema: mes / ast / fin / itm / bgt / dco / saas.</t>
        </is>
      </c>
    </row>
    <row r="8" ht="44" customHeight="1">
      <c r="A8" s="5" t="inlineStr">
        <is>
          <t>MCP auth keys (domains)</t>
        </is>
      </c>
      <c r="B8" s="6" t="inlineStr">
        <is>
          <t>mes, finance, asset, procurement, wms, item, partner, cost, oms, import, tms, rtm - each an X-API-Key header.</t>
        </is>
      </c>
    </row>
    <row r="9" ht="44" customHeight="1">
      <c r="A9" s="5" t="inlineStr">
        <is>
          <t>Row limit</t>
        </is>
      </c>
      <c r="B9" s="6" t="inlineStr">
        <is>
          <t>MCP read-query returns max 200 rows per call, so queries must be aggregated/grouped in SQL (never SELECT *).</t>
        </is>
      </c>
    </row>
    <row r="10" ht="44" customHeight="1">
      <c r="A10" s="5" t="inlineStr">
        <is>
          <t>Dashboard apps</t>
        </is>
      </c>
      <c r="B10" s="6" t="inlineStr">
        <is>
          <t>Local dev server: dashboard-server-local.js (http://localhost:3212). Deployed serverless: api/data.js + api/*.js (Vercel). Frontend HTML: akij-cement-dashboard-local.html (synced to index.html).</t>
        </is>
      </c>
    </row>
    <row r="11" ht="44" customHeight="1">
      <c r="A11" s="5" t="inlineStr">
        <is>
          <t>Global date filter</t>
        </is>
      </c>
      <c r="B11" s="6" t="inlineStr">
        <is>
          <t>FROM/TO date range fetched via /api/data?live=1&amp;from=YYYY-MM-DD&amp;to=YYYY-MM-DD - all sections use the same range.</t>
        </is>
      </c>
    </row>
    <row r="12" ht="44" customHeight="1">
      <c r="A12" s="5" t="inlineStr">
        <is>
          <t>Business units (SBU keys)</t>
        </is>
      </c>
      <c r="B12" s="6" t="inlineStr">
        <is>
          <t>accl(4), apfil(8), aelflour(144), aeldal(144), ail(224), absl(220), aafl(232), hrml(188), fal(189), armcl-ngnj/dhour/rup/ctg/gaz(175), alel(237).</t>
        </is>
      </c>
    </row>
    <row r="13" ht="44" customHeight="1">
      <c r="A13" s="5" t="inlineStr">
        <is>
          <t>Machine filters (per SBU)</t>
        </is>
      </c>
      <c r="B13" s="6" t="inlineStr">
        <is>
          <t>ACCL to VRM-1,VRM-2 - APFIL to Loom% - AIL to Roughing Mill - all others to every machine.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  <col width="62" customWidth="1" min="4" max="4"/>
    <col width="40" customWidth="1" min="5" max="5"/>
  </cols>
  <sheetData>
    <row r="1">
      <c r="A1" s="7" t="inlineStr">
        <is>
          <t>Master Data Source List</t>
        </is>
      </c>
    </row>
    <row r="2" ht="34" customHeight="1">
      <c r="A2" s="8" t="inlineStr">
        <is>
          <t>Every table the dashboard reads, with schema and the columns it uses.</t>
        </is>
      </c>
    </row>
    <row r="4" ht="30" customHeight="1">
      <c r="A4" s="9" t="inlineStr">
        <is>
          <t>Table</t>
        </is>
      </c>
      <c r="B4" s="9" t="inlineStr">
        <is>
          <t>Schema</t>
        </is>
      </c>
      <c r="C4" s="9" t="inlineStr">
        <is>
          <t>Purpose</t>
        </is>
      </c>
      <c r="D4" s="9" t="inlineStr">
        <is>
          <t>Key columns used</t>
        </is>
      </c>
      <c r="E4" s="9" t="inlineStr">
        <is>
          <t>Used in section</t>
        </is>
      </c>
    </row>
    <row r="5" ht="46" customHeight="1">
      <c r="A5" s="6" t="inlineStr">
        <is>
          <t>tblOeeProdWasteHeader</t>
        </is>
      </c>
      <c r="B5" s="6" t="inlineStr">
        <is>
          <t>mes</t>
        </is>
      </c>
      <c r="C5" s="6" t="inlineStr">
        <is>
          <t>Daily Production Entry OEE (live). Actual/good output, capacity, shift duration, planned downtime, target, loading, runtime per machine/UoM/day.</t>
        </is>
      </c>
      <c r="D5" s="6" t="inlineStr">
        <is>
          <t>intBusinessUnitId, strPlantName, strMachineName, strShopFloorName, strUOMName, dteProductionDate, strShiftName, numLoadingMinute, NumMachineRuntime, numActualOutputQuantity, numGoodOutputQuantity, numCapacityPerHr, numShiftDurationMinute, numAvailableMinute, numPlannedDowntimeMin, numShiftTargetQuantity, numWastageTargetQuantity, numNptLossTimeInMinutes, isActive</t>
        </is>
      </c>
      <c r="E5" s="6" t="inlineStr">
        <is>
          <t>Production OEE, Capacity, Yield, Actual Output, Target Output, NPT (Shift/Planned/Avail), Machine OEE</t>
        </is>
      </c>
    </row>
    <row r="6" ht="46" customHeight="1">
      <c r="A6" s="6" t="inlineStr">
        <is>
          <t>tblOeeProdWasteHeaderArc</t>
        </is>
      </c>
      <c r="B6" s="6" t="inlineStr">
        <is>
          <t>mes</t>
        </is>
      </c>
      <c r="C6" s="6" t="inlineStr">
        <is>
          <t>Archived historical Production Entry OEE - same shape as header, used for the long-range daily series.</t>
        </is>
      </c>
      <c r="D6" s="6" t="inlineStr">
        <is>
          <t>Same columns as tblOeeProdWasteHeader (the Arc table).</t>
        </is>
      </c>
      <c r="E6" s="6" t="inlineStr">
        <is>
          <t>Production OEE, Capacity, Yield, Actual Output (historic range)</t>
        </is>
      </c>
    </row>
    <row r="7" ht="46" customHeight="1">
      <c r="A7" s="6" t="inlineStr">
        <is>
          <t>tblNPTHeader</t>
        </is>
      </c>
      <c r="B7" s="6" t="inlineStr">
        <is>
          <t>mes</t>
        </is>
      </c>
      <c r="C7" s="6" t="inlineStr">
        <is>
          <t>NPT (Non-Productive Time) header - one per shift/machine/date of downtime.</t>
        </is>
      </c>
      <c r="D7" s="6" t="inlineStr">
        <is>
          <t>intNPTId, intBusinessUnitId, intPlantId, strPlantName, strWrokCenterName, strShopFloorName, dteLossTimeDate, strShiftName, isActive</t>
        </is>
      </c>
      <c r="E7" s="6" t="inlineStr">
        <is>
          <t>NPT Loss Time, NPT Loss Distribution, Top 5 Breakdowns</t>
        </is>
      </c>
    </row>
    <row r="8" ht="46" customHeight="1">
      <c r="A8" s="6" t="inlineStr">
        <is>
          <t>tblNPTRow</t>
        </is>
      </c>
      <c r="B8" s="6" t="inlineStr">
        <is>
          <t>mes</t>
        </is>
      </c>
      <c r="C8" s="6" t="inlineStr">
        <is>
          <t>NPT detail lines - the actual loss minutes per category/reason.</t>
        </is>
      </c>
      <c r="D8" s="6" t="inlineStr">
        <is>
          <t>intNPTId, strCategoryName, strSubCategoryName, strReasonName, intLossTimeInMinutes, isActive</t>
        </is>
      </c>
      <c r="E8" s="6" t="inlineStr">
        <is>
          <t>NPT Loss Time (SUM of intLossTimeInMinutes), NPT donut, Breakdowns</t>
        </is>
      </c>
    </row>
    <row r="9" ht="46" customHeight="1">
      <c r="A9" s="6" t="inlineStr">
        <is>
          <t>tblProductionPlanVarianceIssue</t>
        </is>
      </c>
      <c r="B9" s="6" t="inlineStr">
        <is>
          <t>mes</t>
        </is>
      </c>
      <c r="C9" s="6" t="inlineStr">
        <is>
          <t>Production Plan Variance - planned vs actual output per product with difference and progress.</t>
        </is>
      </c>
      <c r="D9" s="6" t="inlineStr">
        <is>
          <t>intBusinessUnitId, strProductionPlanCode, strItemName, plannedQty, outputQty, difference, dteServerDateTime, isActive, strIssueStatus</t>
        </is>
      </c>
      <c r="E9" s="6" t="inlineStr">
        <is>
          <t>Planning Achievement (avg progress + planned target)</t>
        </is>
      </c>
    </row>
    <row r="10" ht="46" customHeight="1">
      <c r="A10" s="6" t="inlineStr">
        <is>
          <t>tblProductionPlanningHeader</t>
        </is>
      </c>
      <c r="B10" s="6" t="inlineStr">
        <is>
          <t>mes</t>
        </is>
      </c>
      <c r="C10" s="6" t="inlineStr">
        <is>
          <t>Production planning period header (From/To date per BU).</t>
        </is>
      </c>
      <c r="D10" s="6" t="inlineStr">
        <is>
          <t>intProductionPlanningId, intBusinessUnitId, dteFromDate, dteToDate</t>
        </is>
      </c>
      <c r="E10" s="6" t="inlineStr">
        <is>
          <t>Planning period context</t>
        </is>
      </c>
    </row>
    <row r="11" ht="46" customHeight="1">
      <c r="A11" s="6" t="inlineStr">
        <is>
          <t>RCA tables (RCAAP)</t>
        </is>
      </c>
      <c r="B11" s="6" t="inlineStr">
        <is>
          <t>mes</t>
        </is>
      </c>
      <c r="C11" s="6" t="inlineStr">
        <is>
          <t>Root Cause Analysis / action-status (5-Why) corrective actions.</t>
        </is>
      </c>
      <c r="D11" s="6" t="inlineStr">
        <is>
          <t>action status / counts</t>
        </is>
      </c>
      <c r="E11" s="6" t="inlineStr">
        <is>
          <t>Root Cause Analysis - Action Status (chart)</t>
        </is>
      </c>
    </row>
    <row r="12" ht="46" customHeight="1">
      <c r="A12" s="6" t="inlineStr">
        <is>
          <t>tblPreventiveMaintenanceSchedule</t>
        </is>
      </c>
      <c r="B12" s="6" t="inlineStr">
        <is>
          <t>ast</t>
        </is>
      </c>
      <c r="C12" s="6" t="inlineStr">
        <is>
          <t>Preventive / scheduled maintenance job schedule (PeopleDesk Asset).</t>
        </is>
      </c>
      <c r="D12" s="6" t="inlineStr">
        <is>
          <t>intPreventiveMaintenanceId, intAssetId, strAssetName, dteMaintenanceDate, dteActualStartDate, dteActualEndDate, intScheduleMaintenanceStatusId, isActive</t>
        </is>
      </c>
      <c r="E12" s="6" t="inlineStr">
        <is>
          <t>Scheduled Maintenance (monthly target, MTD done, due)</t>
        </is>
      </c>
    </row>
    <row r="13" ht="46" customHeight="1">
      <c r="A13" s="6" t="inlineStr">
        <is>
          <t>tblPreventiveMaintenance</t>
        </is>
      </c>
      <c r="B13" s="6" t="inlineStr">
        <is>
          <t>ast</t>
        </is>
      </c>
      <c r="C13" s="6" t="inlineStr">
        <is>
          <t>Preventive maintenance master - links to business unit + plant.</t>
        </is>
      </c>
      <c r="D13" s="6" t="inlineStr">
        <is>
          <t>intPreventiveMaintenanceId, intBusinessUnitId, intPlantId, strPlantName, strAssetName, dteMaintenanceDate</t>
        </is>
      </c>
      <c r="E13" s="6" t="inlineStr">
        <is>
          <t>Scheduled Maintenance (join to BU/plant)</t>
        </is>
      </c>
    </row>
    <row r="14" ht="46" customHeight="1">
      <c r="A14" s="6" t="inlineStr">
        <is>
          <t>tblScheduleMaintenanceStatus</t>
        </is>
      </c>
      <c r="B14" s="6" t="inlineStr">
        <is>
          <t>ast</t>
        </is>
      </c>
      <c r="C14" s="6" t="inlineStr">
        <is>
          <t>Status lookup for scheduled maintenance jobs.</t>
        </is>
      </c>
      <c r="D14" s="6" t="inlineStr">
        <is>
          <t>intScheduleMaintenanceStatusId (1 Open, 2 Pending, 3 WIP, 4 Done), strStatusName</t>
        </is>
      </c>
      <c r="E14" s="6" t="inlineStr">
        <is>
          <t>Scheduled Maintenance 'Done' flag (status 4)</t>
        </is>
      </c>
    </row>
    <row r="15" ht="46" customHeight="1">
      <c r="A15" s="6" t="inlineStr">
        <is>
          <t>tblProductionOrderArc / tblProductionRowArc</t>
        </is>
      </c>
      <c r="B15" s="6" t="inlineStr">
        <is>
          <t>mes</t>
        </is>
      </c>
      <c r="C15" s="6" t="inlineStr">
        <is>
          <t>Production orders + cost rows - holds manufacturing overhead.</t>
        </is>
      </c>
      <c r="D15" s="6" t="inlineStr">
        <is>
          <t>intProductionOrderId, intBusinessUnitId, dteStartDate, intProductionRowId, numOverheadCost, isActive</t>
        </is>
      </c>
      <c r="E15" s="6" t="inlineStr">
        <is>
          <t>MOH (Manufacturing Overhead Cost) actual</t>
        </is>
      </c>
    </row>
    <row r="16" ht="46" customHeight="1">
      <c r="A16" s="6" t="inlineStr">
        <is>
          <t>tblAccountingJournal</t>
        </is>
      </c>
      <c r="B16" s="6" t="inlineStr">
        <is>
          <t>fin</t>
        </is>
      </c>
      <c r="C16" s="6" t="inlineStr">
        <is>
          <t>General journal - MOH from finance sub-schedule (GL 4010001 Manufacturing Expenses).</t>
        </is>
      </c>
      <c r="D16" s="6" t="inlineStr">
        <is>
          <t>numAmount, strGeneralLedgerCode='4010001', strGeneralLedgerName LIKE '%Manufactur%', strProfitCenterName / intBusinessUnitId, dteTransactionDate</t>
        </is>
      </c>
      <c r="E16" s="6" t="inlineStr">
        <is>
          <t>MOH budget/target, MOH net (Finance)</t>
        </is>
      </c>
    </row>
    <row r="17" ht="46" customHeight="1">
      <c r="A17" s="6" t="inlineStr">
        <is>
          <t>tblBudgetProduction</t>
        </is>
      </c>
      <c r="B17" s="6" t="inlineStr">
        <is>
          <t>bgt</t>
        </is>
      </c>
      <c r="C17" s="6" t="inlineStr">
        <is>
          <t>Production budget - monthly planned quantity per BU/UoM.</t>
        </is>
      </c>
      <c r="D17" s="6" t="inlineStr">
        <is>
          <t>dteProductionDate, strUOMName, numCapacityPerHr, numAvailableMinute (target capacity)</t>
        </is>
      </c>
      <c r="E17" s="6" t="inlineStr">
        <is>
          <t>Planning / plan-vs-actual prorated budget target</t>
        </is>
      </c>
    </row>
    <row r="18" ht="46" customHeight="1">
      <c r="A18" s="6" t="inlineStr">
        <is>
          <t>timeEmpOverTimeArc</t>
        </is>
      </c>
      <c r="B18" s="6" t="inlineStr">
        <is>
          <t>saas</t>
        </is>
      </c>
      <c r="C18" s="6" t="inlineStr">
        <is>
          <t>Employee overtime (OT) log.</t>
        </is>
      </c>
      <c r="D18" s="6" t="inlineStr">
        <is>
          <t>intBusinessUnitId, dteOverTimeDate, numOverTimeHour, isReject, isActive</t>
        </is>
      </c>
      <c r="E18" s="6" t="inlineStr">
        <is>
          <t>Overtime (OT) panel</t>
        </is>
      </c>
    </row>
    <row r="19" ht="46" customHeight="1">
      <c r="A19" s="6" t="inlineStr">
        <is>
          <t>tblBusinessUnit</t>
        </is>
      </c>
      <c r="B19" s="6" t="inlineStr">
        <is>
          <t>dco</t>
        </is>
      </c>
      <c r="C19" s="6" t="inlineStr">
        <is>
          <t>Business unit dimension / company names.</t>
        </is>
      </c>
      <c r="D19" s="6" t="inlineStr">
        <is>
          <t>intBusinessUnitId, strBusinessUnitCode, strBusinessUnitName</t>
        </is>
      </c>
      <c r="E19" s="6" t="inlineStr">
        <is>
          <t>SBU labels</t>
        </is>
      </c>
    </row>
    <row r="20" ht="46" customHeight="1">
      <c r="A20" s="6" t="inlineStr">
        <is>
          <t>tblPlant</t>
        </is>
      </c>
      <c r="B20" s="6" t="inlineStr">
        <is>
          <t>wms</t>
        </is>
      </c>
      <c r="C20" s="6" t="inlineStr">
        <is>
          <t>Plant dimension.</t>
        </is>
      </c>
      <c r="D20" s="6" t="inlineStr">
        <is>
          <t>intPlantId, strPlantCode, strPlantName</t>
        </is>
      </c>
      <c r="E20" s="6" t="inlineStr">
        <is>
          <t>Plant labels / filters</t>
        </is>
      </c>
    </row>
    <row r="21" ht="46" customHeight="1">
      <c r="A21" s="6" t="inlineStr">
        <is>
          <t>tblUnitOfMeasurement</t>
        </is>
      </c>
      <c r="B21" s="6" t="inlineStr">
        <is>
          <t>itm</t>
        </is>
      </c>
      <c r="C21" s="6" t="inlineStr">
        <is>
          <t>UoM lookup.</t>
        </is>
      </c>
      <c r="D21" s="6" t="inlineStr">
        <is>
          <t>intUOMId, strUomName</t>
        </is>
      </c>
      <c r="E21" s="6" t="inlineStr">
        <is>
          <t>UoM normalization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40" customWidth="1" min="4" max="4"/>
  </cols>
  <sheetData>
    <row r="1">
      <c r="A1" s="7" t="inlineStr">
        <is>
          <t>OEE, Availability, Performance, Quality, Capacity Utilization</t>
        </is>
      </c>
    </row>
    <row r="2" ht="34" customHeight="1">
      <c r="A2" s="8" t="inlineStr">
        <is>
          <t>OEE = A x P x Q. Each factor computed from tblOeeProdWasteHeader (Arc) per machine/UoM/day, then weighted.</t>
        </is>
      </c>
    </row>
    <row r="4" ht="30" customHeight="1">
      <c r="A4" s="9" t="inlineStr">
        <is>
          <t>Field / Factor</t>
        </is>
      </c>
      <c r="B4" s="9" t="inlineStr">
        <is>
          <t>Formula / definition</t>
        </is>
      </c>
      <c r="C4" s="9" t="inlineStr">
        <is>
          <t>Exact SQL source (columns)</t>
        </is>
      </c>
      <c r="D4" s="9" t="inlineStr">
        <is>
          <t>Notes</t>
        </is>
      </c>
    </row>
    <row r="5" ht="46" customHeight="1">
      <c r="A5" s="6" t="inlineStr">
        <is>
          <t>Availability (A)</t>
        </is>
      </c>
      <c r="B5" s="6" t="inlineStr">
        <is>
          <t>A = Machine Runtime / Loading Time (capped at 1)</t>
        </is>
      </c>
      <c r="C5" s="6" t="inlineStr">
        <is>
          <t>SUM(NumMachineRuntime) / SUM(numLoadingMinute) from mes.tblOeeProdWasteHeader(Arc)</t>
        </is>
      </c>
      <c r="D5" s="6" t="inlineStr">
        <is>
          <t>Summed only over rows where runtime &gt; 0 (actRun / lRt). Per UoM then weighted by good output.</t>
        </is>
      </c>
    </row>
    <row r="6" ht="46" customHeight="1">
      <c r="A6" s="6" t="inlineStr">
        <is>
          <t>Performance (P)</t>
        </is>
      </c>
      <c r="B6" s="6" t="inlineStr">
        <is>
          <t>P = Actual Output / (Rated Capacity/hr x Runtime)</t>
        </is>
      </c>
      <c r="C6" s="6" t="inlineStr">
        <is>
          <t>SUM(numActualOutputQuantity) / SUM(numCapacityPerHr x NumMachineRuntime / 60.0)</t>
        </is>
      </c>
      <c r="D6" s="6" t="inlineStr">
        <is>
          <t>cap-run term cr = numCapacityPerHr * NumMachineRuntime / 60.0</t>
        </is>
      </c>
    </row>
    <row r="7" ht="46" customHeight="1">
      <c r="A7" s="6" t="inlineStr">
        <is>
          <t>Quality / Yield (Q)</t>
        </is>
      </c>
      <c r="B7" s="6" t="inlineStr">
        <is>
          <t>Q = Good Output / Actual Output</t>
        </is>
      </c>
      <c r="C7" s="6" t="inlineStr">
        <is>
          <t>SUM(numGoodOutputQuantity) / SUM(numActualOutputQuantity)</t>
        </is>
      </c>
      <c r="D7" s="6" t="inlineStr">
        <is>
          <t>Yield card shows per-UoM %. Yield target 97%.</t>
        </is>
      </c>
    </row>
    <row r="8" ht="46" customHeight="1">
      <c r="A8" s="6" t="inlineStr">
        <is>
          <t>OEE</t>
        </is>
      </c>
      <c r="B8" s="6" t="inlineStr">
        <is>
          <t>OEE = A x P x Q</t>
        </is>
      </c>
      <c r="C8" s="6" t="inlineStr">
        <is>
          <t>Computed in JS (oeeAgg) from A, P, Q.</t>
        </is>
      </c>
      <c r="D8" s="6" t="inlineStr">
        <is>
          <t>OEE Target per SBU/month is a fixed table (OEE_TARGETS) shown in pink below OEE.</t>
        </is>
      </c>
    </row>
    <row r="9" ht="46" customHeight="1">
      <c r="A9" s="6" t="inlineStr">
        <is>
          <t>Capacity Utilization (CU)</t>
        </is>
      </c>
      <c r="B9" s="6" t="inlineStr">
        <is>
          <t>CU = Actual / (Rated Capacity/hr x Shift Duration)</t>
        </is>
      </c>
      <c r="C9" s="6" t="inlineStr">
        <is>
          <t>SUM(numActualOutputQuantity) / SUM(numCapacityPerHr x numShiftDurationMinute / 60.0)</t>
        </is>
      </c>
      <c r="D9" s="6" t="inlineStr">
        <is>
          <t>cs term = numCapacityPerHr * numShiftDurationMinute / 60.0. Target 80%.</t>
        </is>
      </c>
    </row>
    <row r="10" ht="46" customHeight="1">
      <c r="A10" s="6" t="inlineStr">
        <is>
          <t>Aggregation</t>
        </is>
      </c>
      <c r="B10" s="6" t="inlineStr">
        <is>
          <t>Per UoM (uomStats): SUM g, a, cs per UoM, sorted by good output; A/P/Q/CU computed per UoM then combined.</t>
        </is>
      </c>
      <c r="C10" s="6" t="inlineStr">
        <is>
          <t>GROUP BY LTRIM(RTRIM(strUOMName))</t>
        </is>
      </c>
      <c r="D10" s="6" t="inlineStr">
        <is>
          <t>Weighted by good output for combined OEE.</t>
        </is>
      </c>
    </row>
    <row r="11" ht="46" customHeight="1">
      <c r="A11" s="6" t="inlineStr">
        <is>
          <t>Machine filter</t>
        </is>
      </c>
      <c r="B11" s="6" t="inlineStr">
        <is>
          <t>ACCL=VRM-1,VRM-2 - APFIL=Loom% - AIL=Roughing Mill - others=all</t>
        </is>
      </c>
      <c r="C11" s="6" t="inlineStr">
        <is>
          <t>WHERE strMachineName IN (...) / LIKE ...</t>
        </is>
      </c>
      <c r="D11" s="6" t="inlineStr">
        <is>
          <t>Defined in frontend MACHINE_FILTER / MACHINE_OEE_TITLES.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62" customWidth="1" min="3" max="3"/>
    <col width="48" customWidth="1" min="4" max="4"/>
  </cols>
  <sheetData>
    <row r="1">
      <c r="A1" s="7" t="inlineStr">
        <is>
          <t>NPT% = Loss Time / (Shift Time - Planned Time)</t>
        </is>
      </c>
    </row>
    <row r="2" ht="34" customHeight="1">
      <c r="A2" s="8" t="inlineStr">
        <is>
          <t>The corrected formula. Loss from NPT module; Shift &amp; Planned from OEE header. NOTE: OEE's own numNptLossTimeInMinutes is NOT used - Loss always comes from tblNPTRow.</t>
        </is>
      </c>
    </row>
    <row r="4" ht="30" customHeight="1">
      <c r="A4" s="9" t="inlineStr">
        <is>
          <t>Metric</t>
        </is>
      </c>
      <c r="B4" s="9" t="inlineStr">
        <is>
          <t>Formula / definition</t>
        </is>
      </c>
      <c r="C4" s="9" t="inlineStr">
        <is>
          <t>Exact SQL source</t>
        </is>
      </c>
      <c r="D4" s="9" t="inlineStr">
        <is>
          <t>Edge handling</t>
        </is>
      </c>
    </row>
    <row r="5" ht="46" customHeight="1">
      <c r="A5" s="6" t="inlineStr">
        <is>
          <t>Loss Time</t>
        </is>
      </c>
      <c r="B5" s="6">
        <f> SUM(intLossTimeInMinutes) of UNPLANNED NPT</f>
        <v/>
      </c>
      <c r="C5" s="6" t="inlineStr">
        <is>
          <t>mes.tblNPTRow.intLossTimeInMinutes JOIN mes.tblNPTHeader - WHERE header.isActive=1 AND row.isActive=1</t>
        </is>
      </c>
      <c r="D5" s="6" t="inlineStr">
        <is>
          <t>Filter header+row active; captures NPT module categories (Utility, Electrical, Mechanical, Breakdown, Others Down Time, Unavailable Order, etc.).</t>
        </is>
      </c>
    </row>
    <row r="6" ht="46" customHeight="1">
      <c r="A6" s="6" t="inlineStr">
        <is>
          <t>Shift Time</t>
        </is>
      </c>
      <c r="B6" s="6">
        <f> SUM(numShiftDurationMinute)</f>
        <v/>
      </c>
      <c r="C6" s="6" t="inlineStr">
        <is>
          <t>mes.tblOeeProdWasteHeader.numShiftDurationMinute (per BU/machine/day)</t>
        </is>
      </c>
      <c r="D6" s="6" t="inlineStr">
        <is>
          <t>scheduled operating time.</t>
        </is>
      </c>
    </row>
    <row r="7" ht="46" customHeight="1">
      <c r="A7" s="6" t="inlineStr">
        <is>
          <t>Planned Time</t>
        </is>
      </c>
      <c r="B7" s="6">
        <f> SUM(numPlannedDowntimeMin)</f>
        <v/>
      </c>
      <c r="C7" s="6" t="inlineStr">
        <is>
          <t>mes.tblOeeProdWasteHeader.numPlannedDowntimeMin</t>
        </is>
      </c>
      <c r="D7" s="6" t="inlineStr">
        <is>
          <t>planned/scheduled downtime (0 if none).</t>
        </is>
      </c>
    </row>
    <row r="8" ht="46" customHeight="1">
      <c r="A8" s="6" t="inlineStr">
        <is>
          <t>Available Time</t>
        </is>
      </c>
      <c r="B8" s="6">
        <f> Shift Time - Planned Time (or numAvailableMinute)</f>
        <v/>
      </c>
      <c r="C8" s="6" t="inlineStr">
        <is>
          <t>numAvailableMinute (pre-computed) else Shift - Planned</t>
        </is>
      </c>
      <c r="D8" s="6" t="inlineStr">
        <is>
          <t>denominator. If &lt;= 0, NPT = N.A.</t>
        </is>
      </c>
    </row>
    <row r="9" ht="46" customHeight="1">
      <c r="A9" s="6" t="inlineStr">
        <is>
          <t>NPT %</t>
        </is>
      </c>
      <c r="B9" s="6">
        <f> Loss / (Shift - Planned) x 100</f>
        <v/>
      </c>
      <c r="C9" s="6" t="inlineStr">
        <is>
          <t>Computed in server (dashboard-server-local.js)</t>
        </is>
      </c>
      <c r="D9" s="6" t="inlineStr">
        <is>
          <t>Round 1 decimal. If Loss &gt; Available, flag 'Loss &gt; Available (data error)'.</t>
        </is>
      </c>
    </row>
    <row r="10" ht="46" customHeight="1">
      <c r="A10" s="6" t="inlineStr">
        <is>
          <t>Minimum valid value</t>
        </is>
      </c>
      <c r="B10" s="6" t="inlineStr">
        <is>
          <t>NPT must be a percentage e.g. 41.7%</t>
        </is>
      </c>
      <c r="C10" s="6" t="inlineStr">
        <is>
          <t>n/a</t>
        </is>
      </c>
      <c r="D10" s="6" t="inlineStr">
        <is>
          <t>Per SBU + per machine. Combined uses the machine filter (marked with a dot).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62" customWidth="1" min="3" max="3"/>
    <col width="52" customWidth="1" min="4" max="4"/>
  </cols>
  <sheetData>
    <row r="1">
      <c r="A1" s="7" t="inlineStr">
        <is>
          <t>Actual Output &amp; Target Output</t>
        </is>
      </c>
    </row>
    <row r="2" ht="34" customHeight="1">
      <c r="A2" s="8" t="inlineStr">
        <is>
          <t>Actual = raw numActualOutputQuantity; Target = raw numShiftTargetQuantity. Both displayed with the productionEntryOee UoM.</t>
        </is>
      </c>
    </row>
    <row r="4" ht="30" customHeight="1">
      <c r="A4" s="9" t="inlineStr">
        <is>
          <t>Metric</t>
        </is>
      </c>
      <c r="B4" s="9" t="inlineStr">
        <is>
          <t>Formula / definition</t>
        </is>
      </c>
      <c r="C4" s="9" t="inlineStr">
        <is>
          <t>Exact SQL source</t>
        </is>
      </c>
      <c r="D4" s="9" t="inlineStr">
        <is>
          <t>Notes</t>
        </is>
      </c>
    </row>
    <row r="5" ht="46" customHeight="1">
      <c r="A5" s="6" t="inlineStr">
        <is>
          <t>Actual Output</t>
        </is>
      </c>
      <c r="B5" s="6">
        <f> SUM(numActualOutputQuantity)</f>
        <v/>
      </c>
      <c r="C5" s="6" t="inlineStr">
        <is>
          <t>mes.tblOeeProdWasteHeader.numActualOutputQuantity (or Arc) per UoM/day</t>
        </is>
      </c>
      <c r="D5" s="6" t="inlineStr">
        <is>
          <t>Raw value, no conversion. Displayed per UoM; unit label normalized (Ton for ACCL/AIL/ABSL/HRML/FAL/AEL/AAFL).</t>
        </is>
      </c>
    </row>
    <row r="6" ht="46" customHeight="1">
      <c r="A6" s="6" t="inlineStr">
        <is>
          <t>Target Output</t>
        </is>
      </c>
      <c r="B6" s="6">
        <f> SUM(numShiftTargetQuantity)</f>
        <v/>
      </c>
      <c r="C6" s="6" t="inlineStr">
        <is>
          <t>mes.tblOeeProdWasteHeader.numShiftTargetQuantity (per date/UoM)</t>
        </is>
      </c>
      <c r="D6" s="6" t="inlineStr">
        <is>
          <t>Shown in pink under Actual Output. For ACCL uses VRM-filtered rows; else all machines.</t>
        </is>
      </c>
    </row>
    <row r="7" ht="46" customHeight="1">
      <c r="A7" s="6" t="inlineStr">
        <is>
          <t>UoM preference (Ton)</t>
        </is>
      </c>
      <c r="B7" s="6" t="inlineStr">
        <is>
          <t>SBUs reporting Ton: change display label to 'Ton' (value kept). TON_SBUS = hrml, fal, aelflour, aafl; plus natively Ton: accl (Ton), ail/absl (MetricTons).</t>
        </is>
      </c>
      <c r="C7" s="6" t="inlineStr">
        <is>
          <t>Detected from strUOMName containing 'Ton'/'MetricTons'</t>
        </is>
      </c>
      <c r="D7" s="6" t="inlineStr">
        <is>
          <t>Other SBUs keep native units (Bag, Kilogram, Pices, Meter/Metre, CubicFoot). OEE_UOM whitelist restricts displayed units to what productionEntryOee reports.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62" customWidth="1" min="3" max="3"/>
    <col width="40" customWidth="1" min="4" max="4"/>
  </cols>
  <sheetData>
    <row r="1">
      <c r="A1" s="7" t="inlineStr">
        <is>
          <t>Planning Achievement (Plan Variance)</t>
        </is>
      </c>
    </row>
    <row r="2" ht="34" customHeight="1">
      <c r="A2" s="8" t="inlineStr">
        <is>
          <t>Main card = average of product-line progress %. Pink target = total planned qty. Source: Production Plan Variance page.</t>
        </is>
      </c>
    </row>
    <row r="4" ht="30" customHeight="1">
      <c r="A4" s="9" t="inlineStr">
        <is>
          <t>Metric</t>
        </is>
      </c>
      <c r="B4" s="9" t="inlineStr">
        <is>
          <t>Formula / definition</t>
        </is>
      </c>
      <c r="C4" s="9" t="inlineStr">
        <is>
          <t>Exact SQL source</t>
        </is>
      </c>
      <c r="D4" s="9" t="inlineStr">
        <is>
          <t>Notes</t>
        </is>
      </c>
    </row>
    <row r="5" ht="46" customHeight="1">
      <c r="A5" s="6" t="inlineStr">
        <is>
          <t>Progress per product</t>
        </is>
      </c>
      <c r="B5" s="6" t="inlineStr">
        <is>
          <t>Progress% = outputQty / plannedQty x 100</t>
        </is>
      </c>
      <c r="C5" s="6" t="inlineStr">
        <is>
          <t>mes.tblProductionPlanVarianceIssue: outputQty, plannedQty</t>
        </is>
      </c>
      <c r="D5" s="6" t="inlineStr">
        <is>
          <t>per product line per day.</t>
        </is>
      </c>
    </row>
    <row r="6" ht="46" customHeight="1">
      <c r="A6" s="6" t="inlineStr">
        <is>
          <t>Average progress (main)</t>
        </is>
      </c>
      <c r="B6" s="6">
        <f> AVG(Progress% across product lines)</f>
        <v/>
      </c>
      <c r="C6" s="6" t="inlineStr">
        <is>
          <t>Computed in JS planVarStat avgPct (only lines where plannedQty &gt; 0)</t>
        </is>
      </c>
      <c r="D6" s="6" t="inlineStr">
        <is>
          <t>This is the big number on the card.</t>
        </is>
      </c>
    </row>
    <row r="7" ht="46" customHeight="1">
      <c r="A7" s="6" t="inlineStr">
        <is>
          <t>Total difference</t>
        </is>
      </c>
      <c r="B7" s="6">
        <f> SUM(difference) = SUM(outputQty - plannedQty)</f>
        <v/>
      </c>
      <c r="C7" s="6" t="inlineStr">
        <is>
          <t>SUM(difference) / SUM(outputQty - plannedQty)</t>
        </is>
      </c>
      <c r="D7" s="6" t="inlineStr">
        <is>
          <t>shown as (out - plan).</t>
        </is>
      </c>
    </row>
    <row r="8" ht="46" customHeight="1">
      <c r="A8" s="6" t="inlineStr">
        <is>
          <t>Target (pink line)</t>
        </is>
      </c>
      <c r="B8" s="6">
        <f> SUM(plannedQty) shown as 'Target &lt;n&gt; planned'</f>
        <v/>
      </c>
      <c r="C8" s="6" t="inlineStr">
        <is>
          <t>SUM(plannedQty)</t>
        </is>
      </c>
      <c r="D8" s="6" t="inlineStr">
        <is>
          <t>pink target line, unit is the product's unit.</t>
        </is>
      </c>
    </row>
    <row r="9" ht="46" customHeight="1">
      <c r="A9" s="6" t="inlineStr">
        <is>
          <t>UoM / plant context</t>
        </is>
      </c>
      <c r="B9" s="6" t="inlineStr">
        <is>
          <t>strProductionPlanCode &amp; intBusinessUnitId</t>
        </is>
      </c>
      <c r="C9" s="6" t="inlineStr">
        <is>
          <t>mes.tblProductionPlanVarianceIssue strProductionPlanCode</t>
        </is>
      </c>
      <c r="D9" s="6" t="inlineStr">
        <is>
          <t>per SBU.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62" customWidth="1" min="3" max="3"/>
    <col width="52" customWidth="1" min="4" max="4"/>
  </cols>
  <sheetData>
    <row r="1">
      <c r="A1" s="7" t="inlineStr">
        <is>
          <t>Scheduled / Preventive Maintenance</t>
        </is>
      </c>
    </row>
    <row r="2" ht="34" customHeight="1">
      <c r="A2" s="8" t="inlineStr">
        <is>
          <t>Source: PeopleDesk Asset module (ast schema). Monthly target vs MTD Done vs due-in-period.</t>
        </is>
      </c>
    </row>
    <row r="4" ht="30" customHeight="1">
      <c r="A4" s="9" t="inlineStr">
        <is>
          <t>Metric</t>
        </is>
      </c>
      <c r="B4" s="9" t="inlineStr">
        <is>
          <t>Formula / definition</t>
        </is>
      </c>
      <c r="C4" s="9" t="inlineStr">
        <is>
          <t>Exact SQL source</t>
        </is>
      </c>
      <c r="D4" s="9" t="inlineStr">
        <is>
          <t>Notes</t>
        </is>
      </c>
    </row>
    <row r="5" ht="46" customHeight="1">
      <c r="A5" s="6" t="inlineStr">
        <is>
          <t>Monthly target</t>
        </is>
      </c>
      <c r="B5" s="6">
        <f> COUNT(active PM jobs where dteMaintenanceDate in current month)</f>
        <v/>
      </c>
      <c r="C5" s="6" t="inlineStr">
        <is>
          <t>ast.tblPreventiveMaintenanceSchedule JOIN ast.tblPreventiveMaintenance (intBusinessUnitId)</t>
        </is>
      </c>
      <c r="D5" s="6" t="inlineStr">
        <is>
          <t>September example: ACCL 419, APFIL 297, AEL 226, ARMCL 198, HRML 827, FAL 889, ABSL 14, AIL 947, AAFL 377.</t>
        </is>
      </c>
    </row>
    <row r="6" ht="46" customHeight="1">
      <c r="A6" s="6" t="inlineStr">
        <is>
          <t>Scheduled (due MTD)</t>
        </is>
      </c>
      <c r="B6" s="6">
        <f> COUNT(jobs where dteMaintenanceDate between month-start AND as-of date)</f>
        <v/>
      </c>
      <c r="C6" s="6" t="inlineStr">
        <is>
          <t>same tables, dteMaintenanceDate window</t>
        </is>
      </c>
      <c r="D6" s="6" t="inlineStr">
        <is>
          <t>MTD through the data date (P.meta.maxDate).</t>
        </is>
      </c>
    </row>
    <row r="7" ht="46" customHeight="1">
      <c r="A7" s="6" t="inlineStr">
        <is>
          <t>Done MTD</t>
        </is>
      </c>
      <c r="B7" s="6">
        <f> COUNT(jobs where intScheduleMaintenanceStatusId = 4 AND dteMaintenanceDate &lt;= as-of)</f>
        <v/>
      </c>
      <c r="C7" s="6" t="inlineStr">
        <is>
          <t>intScheduleMaintenanceStatusId = 4 (Done) + dteMaintenanceDate window</t>
        </is>
      </c>
      <c r="D7" s="6" t="inlineStr">
        <is>
          <t>status 4 = Done (see tblScheduleMaintenanceStatus).</t>
        </is>
      </c>
    </row>
    <row r="8" ht="46" customHeight="1">
      <c r="A8" s="6" t="inlineStr">
        <is>
          <t>Daily chart</t>
        </is>
      </c>
      <c r="B8" s="6" t="inlineStr">
        <is>
          <t>per-day due &amp; done counts over the month</t>
        </is>
      </c>
      <c r="C8" s="6" t="inlineStr">
        <is>
          <t>GROUP BY CONVERT(varchar(10), dteMaintenanceDate,23)</t>
        </is>
      </c>
      <c r="D8" s="6" t="inlineStr">
        <is>
          <t>Due vs Done daily bars.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62" customWidth="1" min="3" max="3"/>
    <col width="46" customWidth="1" min="4" max="4"/>
  </cols>
  <sheetData>
    <row r="1">
      <c r="A1" s="7" t="inlineStr">
        <is>
          <t>Manufacturing Overhead Cost</t>
        </is>
      </c>
    </row>
    <row r="2" ht="34" customHeight="1">
      <c r="A2" s="8" t="inlineStr">
        <is>
          <t>Overhead booked to production orders (MOH) vs Finance sub-schedule budget (GL 4010001).</t>
        </is>
      </c>
    </row>
    <row r="4" ht="30" customHeight="1">
      <c r="A4" s="9" t="inlineStr">
        <is>
          <t>Metric</t>
        </is>
      </c>
      <c r="B4" s="9" t="inlineStr">
        <is>
          <t>Formula / definition</t>
        </is>
      </c>
      <c r="C4" s="9" t="inlineStr">
        <is>
          <t>Exact SQL source</t>
        </is>
      </c>
      <c r="D4" s="9" t="inlineStr">
        <is>
          <t>Notes</t>
        </is>
      </c>
    </row>
    <row r="5" ht="46" customHeight="1">
      <c r="A5" s="6" t="inlineStr">
        <is>
          <t>MOH Actual (per month)</t>
        </is>
      </c>
      <c r="B5" s="6">
        <f> SUM(numOverheadCost)</f>
        <v/>
      </c>
      <c r="C5" s="6" t="inlineStr">
        <is>
          <t>mes.tblProductionRowArc JOIN mes.tblProductionOrderArc (numOverheadCost) WHERE intBusinessUnitId + isActive</t>
        </is>
      </c>
      <c r="D5" s="6" t="inlineStr">
        <is>
          <t>per production order cost rows.</t>
        </is>
      </c>
    </row>
    <row r="6" ht="46" customHeight="1">
      <c r="A6" s="6" t="inlineStr">
        <is>
          <t>MOH budget/target</t>
        </is>
      </c>
      <c r="B6" s="6">
        <f> SUM(numAmount) from Finance sub-schedule (Income Statement only)</f>
        <v/>
      </c>
      <c r="C6" s="6" t="inlineStr">
        <is>
          <t>fin.tblAccountingJournal WHERE strGeneralLedgerCode='4010001' AND strGeneralLedgerName LIKE '%Manufactur%' AND strProfitCenterName IN (...) / intBusinessUnitId</t>
        </is>
      </c>
      <c r="D6" s="6" t="inlineStr">
        <is>
          <t>per Profit Center per BU.</t>
        </is>
      </c>
    </row>
    <row r="7" ht="46" customHeight="1">
      <c r="A7" s="6" t="inlineStr">
        <is>
          <t>MOH Cost (Net) card</t>
        </is>
      </c>
      <c r="B7" s="6" t="inlineStr">
        <is>
          <t>Net = MOH gross - pool (apportionment shown as gross - pool)</t>
        </is>
      </c>
      <c r="C7" s="6" t="inlineStr">
        <is>
          <t>gross from Finance; pool/sub-ledger from fin.tblAccountingJournal</t>
        </is>
      </c>
      <c r="D7" s="6" t="inlineStr">
        <is>
          <t>displayed in BDT Million.</t>
        </is>
      </c>
    </row>
    <row r="8" ht="46" customHeight="1">
      <c r="A8" s="6" t="inlineStr">
        <is>
          <t>Rate per 1000 bags</t>
        </is>
      </c>
      <c r="B8" s="6">
        <f> MOH / (good output in '000 bags)</f>
        <v/>
      </c>
      <c r="C8" s="6" t="inlineStr">
        <is>
          <t>MOH / (SUM(numGoodOutputQuantity)/1000)</t>
        </is>
      </c>
      <c r="D8" s="6" t="inlineStr">
        <is>
          <t>context card.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64" customWidth="1" min="3" max="3"/>
    <col width="44" customWidth="1" min="4" max="4"/>
  </cols>
  <sheetData>
    <row r="1">
      <c r="A1" s="7" t="inlineStr">
        <is>
          <t>Machine OEE Detail (VRM / Rolling / Loom)</t>
        </is>
      </c>
    </row>
    <row r="2" ht="34" customHeight="1">
      <c r="A2" s="8" t="inlineStr">
        <is>
          <t>Per-machine OEE factors + combined, plus actual &amp; target output for the selected machine group.</t>
        </is>
      </c>
    </row>
    <row r="4" ht="30" customHeight="1">
      <c r="A4" s="9" t="inlineStr">
        <is>
          <t>Metric</t>
        </is>
      </c>
      <c r="B4" s="9" t="inlineStr">
        <is>
          <t>Formula / definition</t>
        </is>
      </c>
      <c r="C4" s="9" t="inlineStr">
        <is>
          <t>Exact SQL source</t>
        </is>
      </c>
      <c r="D4" s="9" t="inlineStr">
        <is>
          <t>Notes</t>
        </is>
      </c>
    </row>
    <row r="5" ht="46" customHeight="1">
      <c r="A5" s="6" t="inlineStr">
        <is>
          <t>Machine selection</t>
        </is>
      </c>
      <c r="B5" s="6" t="inlineStr">
        <is>
          <t>explicit machines list, shop floor, or LIKE pattern</t>
        </is>
      </c>
      <c r="C5" s="6" t="inlineStr">
        <is>
          <t>GET /api/machine-oee?bu=&amp;machines=&amp;shopfloor=&amp;pattern=</t>
        </is>
      </c>
      <c r="D5" s="6" t="inlineStr">
        <is>
          <t>ACCL to VRM-1,VRM-2 - APFIL to pattern=Loom% - AIL to shopfloor=Re-Rolling Shop Floor</t>
        </is>
      </c>
    </row>
    <row r="6" ht="46" customHeight="1">
      <c r="A6" s="6" t="inlineStr">
        <is>
          <t>Per-machine A/P/Q/OEE</t>
        </is>
      </c>
      <c r="B6" s="6" t="inlineStr">
        <is>
          <t>A=run/loading, P=actual/(cap/hr x run), Q=good/actual, OEE=A x P x Q</t>
        </is>
      </c>
      <c r="C6" s="6" t="inlineStr">
        <is>
          <t>mes.tblOeeProdWasteHeader: numLoadingMinute, NumMachineRuntime, numActualOutputQuantity, numGoodOutputQuantity, numCapacityPerHr, numShiftDurationMinute</t>
        </is>
      </c>
      <c r="D6" s="6" t="inlineStr">
        <is>
          <t>per machine per UoM, grouped by date.</t>
        </is>
      </c>
    </row>
    <row r="7" ht="46" customHeight="1">
      <c r="A7" s="6" t="inlineStr">
        <is>
          <t>Combined OEE</t>
        </is>
      </c>
      <c r="B7" s="6" t="inlineStr">
        <is>
          <t>combined across selected machines</t>
        </is>
      </c>
      <c r="C7" s="6" t="inlineStr">
        <is>
          <t>sum across the selected machine set</t>
        </is>
      </c>
      <c r="D7" s="6" t="inlineStr">
        <is>
          <t>the main 'Machine OEE Detail' KPI.</t>
        </is>
      </c>
    </row>
    <row r="8" ht="46" customHeight="1">
      <c r="A8" s="6" t="inlineStr">
        <is>
          <t>Target Output (machine)</t>
        </is>
      </c>
      <c r="B8" s="6">
        <f> SUM(numShiftTargetQuantity)</f>
        <v/>
      </c>
      <c r="C8" s="6" t="inlineStr">
        <is>
          <t>mes.tblOeeProdWasteHeader.numShiftTargetQuantity</t>
        </is>
      </c>
      <c r="D8" s="6" t="inlineStr">
        <is>
          <t>shown as pink 'Target Output .../day'.</t>
        </is>
      </c>
    </row>
    <row r="9" ht="46" customHeight="1">
      <c r="A9" s="6" t="inlineStr">
        <is>
          <t>Actual Output (machine)</t>
        </is>
      </c>
      <c r="B9" s="6">
        <f> SUM(numActualOutputQuantity)</f>
        <v/>
      </c>
      <c r="C9" s="6" t="inlineStr">
        <is>
          <t>same table</t>
        </is>
      </c>
      <c r="D9" s="6" t="inlineStr">
        <is>
          <t>per selected machine set, unit-labeled.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4" customWidth="1" min="3" max="3"/>
    <col width="62" customWidth="1" min="4" max="4"/>
    <col width="42" customWidth="1" min="5" max="5"/>
  </cols>
  <sheetData>
    <row r="1">
      <c r="A1" s="7" t="inlineStr">
        <is>
          <t>Waste, Overtime, NPT Donut, Breakdowns, RCA</t>
        </is>
      </c>
    </row>
    <row r="2" ht="34" customHeight="1">
      <c r="A2" s="8" t="inlineStr">
        <is>
          <t>Secondary panels and their sources.</t>
        </is>
      </c>
    </row>
    <row r="4" ht="30" customHeight="1">
      <c r="A4" s="9" t="inlineStr">
        <is>
          <t>Section</t>
        </is>
      </c>
      <c r="B4" s="9" t="inlineStr">
        <is>
          <t>Metric</t>
        </is>
      </c>
      <c r="C4" s="9" t="inlineStr">
        <is>
          <t>Formula / definition</t>
        </is>
      </c>
      <c r="D4" s="9" t="inlineStr">
        <is>
          <t>Exact SQL source</t>
        </is>
      </c>
      <c r="E4" s="9" t="inlineStr">
        <is>
          <t>Notes</t>
        </is>
      </c>
    </row>
    <row r="5" ht="46" customHeight="1">
      <c r="A5" s="6" t="inlineStr">
        <is>
          <t>Waste</t>
        </is>
      </c>
      <c r="B5" s="6" t="inlineStr">
        <is>
          <t>Waste actual</t>
        </is>
      </c>
      <c r="C5" s="6">
        <f> SUM(numWasteQuantity)</f>
        <v/>
      </c>
      <c r="D5" s="6" t="inlineStr">
        <is>
          <t>mes.tblOeeProdWasteRow.numWasteQuantity (JOIN header)</t>
        </is>
      </c>
      <c r="E5" s="6" t="inlineStr">
        <is>
          <t>today's value, weight unit (MT/Kg).</t>
        </is>
      </c>
    </row>
    <row r="6" ht="46" customHeight="1">
      <c r="A6" s="6" t="inlineStr">
        <is>
          <t>Waste</t>
        </is>
      </c>
      <c r="B6" s="6" t="inlineStr">
        <is>
          <t>Waste target</t>
        </is>
      </c>
      <c r="C6" s="6">
        <f> SUM(numWastageTargetQuantity)</f>
        <v/>
      </c>
      <c r="D6" s="6" t="inlineStr">
        <is>
          <t>mes.tblOeeProdWasteHeader.numWastageTargetQuantity</t>
        </is>
      </c>
      <c r="E6" s="6" t="inlineStr">
        <is>
          <t>shown beside actual.</t>
        </is>
      </c>
    </row>
    <row r="7" ht="46" customHeight="1">
      <c r="A7" s="6" t="inlineStr">
        <is>
          <t>Overtime</t>
        </is>
      </c>
      <c r="B7" s="6" t="inlineStr">
        <is>
          <t>OT actual (day)</t>
        </is>
      </c>
      <c r="C7" s="6">
        <f> SUM(numOverTimeHour)</f>
        <v/>
      </c>
      <c r="D7" s="6" t="inlineStr">
        <is>
          <t>saas.timeEmpOverTimeArc.numOverTimeHour (isActive=1, isReject=0)</t>
        </is>
      </c>
      <c r="E7" s="6" t="inlineStr">
        <is>
          <t>ACCL/APFIL/AEL; monthly target / 30 = per-day target.</t>
        </is>
      </c>
    </row>
    <row r="8" ht="46" customHeight="1">
      <c r="A8" s="6" t="inlineStr">
        <is>
          <t>NPT donut</t>
        </is>
      </c>
      <c r="B8" s="6" t="inlineStr">
        <is>
          <t>NPT minutes by category</t>
        </is>
      </c>
      <c r="C8" s="6">
        <f> SUM(intLossTimeInMinutes) GROUP BY strCategoryName</f>
        <v/>
      </c>
      <c r="D8" s="6" t="inlineStr">
        <is>
          <t>mes.tblNPTRow.strCategoryName</t>
        </is>
      </c>
      <c r="E8" s="6" t="inlineStr">
        <is>
          <t>for the selected period.</t>
        </is>
      </c>
    </row>
    <row r="9" ht="46" customHeight="1">
      <c r="A9" s="6" t="inlineStr">
        <is>
          <t>Top 5 Breakdowns</t>
        </is>
      </c>
      <c r="B9" s="6" t="inlineStr">
        <is>
          <t>Mech/Elec downtime</t>
        </is>
      </c>
      <c r="C9" s="6">
        <f> SUM(intLossTimeInMinutes) GROUP BY strCategoryName, strSubCategoryName</f>
        <v/>
      </c>
      <c r="D9" s="6" t="inlineStr">
        <is>
          <t>mes.tblNPTRow (strCategoryName IN 'Mechanical','Electrical')</t>
        </is>
      </c>
      <c r="E9" s="6" t="inlineStr">
        <is>
          <t>top 5 by minutes.</t>
        </is>
      </c>
    </row>
    <row r="10" ht="46" customHeight="1">
      <c r="A10" s="6" t="inlineStr">
        <is>
          <t>RCA</t>
        </is>
      </c>
      <c r="B10" s="6" t="inlineStr">
        <is>
          <t>Root-cause action status</t>
        </is>
      </c>
      <c r="C10" s="6" t="inlineStr">
        <is>
          <t>count of RCA corrective actions by status</t>
        </is>
      </c>
      <c r="D10" s="6" t="inlineStr">
        <is>
          <t>mes RCA (RCAAP) tables</t>
        </is>
      </c>
      <c r="E10" s="6" t="inlineStr">
        <is>
          <t>action-status chart.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6" customWidth="1" min="3" max="3"/>
    <col width="34" customWidth="1" min="4" max="4"/>
    <col width="44" customWidth="1" min="5" max="5"/>
  </cols>
  <sheetData>
    <row r="1">
      <c r="A1" s="7" t="inlineStr">
        <is>
          <t>Section to endpoint to code mapping</t>
        </is>
      </c>
    </row>
    <row r="2" ht="34" customHeight="1">
      <c r="A2" s="8" t="inlineStr">
        <is>
          <t>The code path that renders each section, so you can trace a value end-to-end.</t>
        </is>
      </c>
    </row>
    <row r="4" ht="30" customHeight="1">
      <c r="A4" s="9" t="inlineStr">
        <is>
          <t>Dashboard section</t>
        </is>
      </c>
      <c r="B4" s="9" t="inlineStr">
        <is>
          <t>API endpoint</t>
        </is>
      </c>
      <c r="C4" s="9" t="inlineStr">
        <is>
          <t>Back-end file / function</t>
        </is>
      </c>
      <c r="D4" s="9" t="inlineStr">
        <is>
          <t>Frontend element</t>
        </is>
      </c>
      <c r="E4" s="9" t="inlineStr">
        <is>
          <t>Key frontend variables/functions</t>
        </is>
      </c>
    </row>
    <row r="5" ht="46" customHeight="1">
      <c r="A5" s="6" t="inlineStr">
        <is>
          <t>Production OEE / Factors</t>
        </is>
      </c>
      <c r="B5" s="6" t="inlineStr">
        <is>
          <t>/api/data?live=1 (in js) + /api/machine-oee</t>
        </is>
      </c>
      <c r="C5" s="6" t="inlineStr">
        <is>
          <t>dashboard-server-local.js (mergeLive, daily query); api/data.js</t>
        </is>
      </c>
      <c r="D5" s="6" t="inlineStr">
        <is>
          <t>OEE card, Production OEE &amp; Factors chart</t>
        </is>
      </c>
      <c r="E5" s="6" t="inlineStr">
        <is>
          <t>oeeAgg(), uomStats(), plantOEE()</t>
        </is>
      </c>
    </row>
    <row r="6" ht="46" customHeight="1">
      <c r="A6" s="6" t="inlineStr">
        <is>
          <t>NPT panel</t>
        </is>
      </c>
      <c r="B6" s="6" t="inlineStr">
        <is>
          <t>/api/data?live=1&amp;from=&amp;to=</t>
        </is>
      </c>
      <c r="C6" s="6" t="inlineStr">
        <is>
          <t>dashboard-server-local.js (nptInfo block)</t>
        </is>
      </c>
      <c r="D6" s="6" t="inlineStr">
        <is>
          <t>NPT panel, NPT card, NPT donut</t>
        </is>
      </c>
      <c r="E6" s="6" t="inlineStr">
        <is>
          <t>renderNptPct(), P.nptInfo</t>
        </is>
      </c>
    </row>
    <row r="7" ht="46" customHeight="1">
      <c r="A7" s="6" t="inlineStr">
        <is>
          <t>Actual / Target Output</t>
        </is>
      </c>
      <c r="B7" s="6" t="inlineStr">
        <is>
          <t>/api/data?live=1</t>
        </is>
      </c>
      <c r="C7" s="6" t="inlineStr">
        <is>
          <t>dashboard-server-local.js (tgtOut block)</t>
        </is>
      </c>
      <c r="D7" s="6" t="inlineStr">
        <is>
          <t>Actual Output card + pink target</t>
        </is>
      </c>
      <c r="E7" s="6" t="inlineStr">
        <is>
          <t>fmtOutput(), prodLine(), outLabel(), OEE_UOM, TON_SBUS</t>
        </is>
      </c>
    </row>
    <row r="8" ht="46" customHeight="1">
      <c r="A8" s="6" t="inlineStr">
        <is>
          <t>Planning Achievement</t>
        </is>
      </c>
      <c r="B8" s="6" t="inlineStr">
        <is>
          <t>/api/data?live=1</t>
        </is>
      </c>
      <c r="C8" s="6" t="inlineStr">
        <is>
          <t>dashboard-server-local.js (planVar block)</t>
        </is>
      </c>
      <c r="D8" s="6" t="inlineStr">
        <is>
          <t>Planning Achievement card</t>
        </is>
      </c>
      <c r="E8" s="6" t="inlineStr">
        <is>
          <t>planVarStat(), planVarDaily(), avgPct</t>
        </is>
      </c>
    </row>
    <row r="9" ht="46" customHeight="1">
      <c r="A9" s="6" t="inlineStr">
        <is>
          <t>Scheduled Maintenance</t>
        </is>
      </c>
      <c r="B9" s="6" t="inlineStr">
        <is>
          <t>/api/data?live=1</t>
        </is>
      </c>
      <c r="C9" s="6" t="inlineStr">
        <is>
          <t>dashboard-server-local.js (schedMaint block) via ASSET key</t>
        </is>
      </c>
      <c r="D9" s="6" t="inlineStr">
        <is>
          <t>Scheduled Maintenance card + chart</t>
        </is>
      </c>
      <c r="E9" s="6" t="inlineStr">
        <is>
          <t>P.schedMaint (monthly, doneMTD, dueMTD, daily)</t>
        </is>
      </c>
    </row>
    <row r="10" ht="46" customHeight="1">
      <c r="A10" s="6" t="inlineStr">
        <is>
          <t>Waste</t>
        </is>
      </c>
      <c r="B10" s="6" t="inlineStr">
        <is>
          <t>/api/data?live=1 (applyProdTargets)</t>
        </is>
      </c>
      <c r="C10" s="6" t="inlineStr">
        <is>
          <t>dashboard-server-local.js (waste rows)</t>
        </is>
      </c>
      <c r="D10" s="6" t="inlineStr">
        <is>
          <t>Waste card</t>
        </is>
      </c>
      <c r="E10" s="6" t="inlineStr">
        <is>
          <t>P.waste</t>
        </is>
      </c>
    </row>
    <row r="11" ht="46" customHeight="1">
      <c r="A11" s="6" t="inlineStr">
        <is>
          <t>MOH</t>
        </is>
      </c>
      <c r="B11" s="6" t="inlineStr">
        <is>
          <t>/api/data?live=1 + /api/moh-budget</t>
        </is>
      </c>
      <c r="C11" s="6" t="inlineStr">
        <is>
          <t>dashboard-server-local.js (MOH_PCTER map)</t>
        </is>
      </c>
      <c r="D11" s="6" t="inlineStr">
        <is>
          <t>MOH Cost (Net) card + chart</t>
        </is>
      </c>
      <c r="E11" s="6" t="inlineStr">
        <is>
          <t>P.moh, mohBudget</t>
        </is>
      </c>
    </row>
    <row r="12" ht="46" customHeight="1">
      <c r="A12" s="6" t="inlineStr">
        <is>
          <t>Overtime</t>
        </is>
      </c>
      <c r="B12" s="6" t="inlineStr">
        <is>
          <t>/api/data?live=1 (ot) + OT_CFG config</t>
        </is>
      </c>
      <c r="C12" s="6" t="inlineStr">
        <is>
          <t>dashboard-server-local.js (ot rows)</t>
        </is>
      </c>
      <c r="D12" s="6" t="inlineStr">
        <is>
          <t>Overtime panel</t>
        </is>
      </c>
      <c r="E12" s="6" t="inlineStr">
        <is>
          <t>renderOvertime(), OT_CFG</t>
        </is>
      </c>
    </row>
    <row r="13" ht="46" customHeight="1">
      <c r="A13" s="6" t="inlineStr">
        <is>
          <t>Machine OEE Detail</t>
        </is>
      </c>
      <c r="B13" s="6" t="inlineStr">
        <is>
          <t>/api/machine-oee</t>
        </is>
      </c>
      <c r="C13" s="6" t="inlineStr">
        <is>
          <t>dashboard-server-local.js (machine-oee handler)</t>
        </is>
      </c>
      <c r="D13" s="6" t="inlineStr">
        <is>
          <t>VRM/Rolling/Loom panel</t>
        </is>
      </c>
      <c r="E13" s="6" t="inlineStr">
        <is>
          <t>loadMachineOee(), MACHINE_OEE_TITLES</t>
        </is>
      </c>
    </row>
    <row r="14" ht="46" customHeight="1">
      <c r="A14" s="6" t="inlineStr">
        <is>
          <t>Top 5 Breakdowns</t>
        </is>
      </c>
      <c r="B14" s="6" t="inlineStr">
        <is>
          <t>/api/data?live=1</t>
        </is>
      </c>
      <c r="C14" s="6" t="inlineStr">
        <is>
          <t>dashboard-server-local.js (nptBd)</t>
        </is>
      </c>
      <c r="D14" s="6" t="inlineStr">
        <is>
          <t>Top 5 Breakdowns chart</t>
        </is>
      </c>
      <c r="E14" s="6" t="inlineStr">
        <is>
          <t>nptBd, bdRows</t>
        </is>
      </c>
    </row>
    <row r="15" ht="46" customHeight="1">
      <c r="A15" s="6" t="inlineStr">
        <is>
          <t>RCA</t>
        </is>
      </c>
      <c r="B15" s="6" t="inlineStr">
        <is>
          <t>/api/data?live=1 (embedded DATA)</t>
        </is>
      </c>
      <c r="C15" s="6" t="inlineStr">
        <is>
          <t>embedded snapshot</t>
        </is>
      </c>
      <c r="D15" s="6" t="inlineStr">
        <is>
          <t>RCA action-status chart</t>
        </is>
      </c>
      <c r="E15" s="6" t="inlineStr">
        <is>
          <t>P.rca</t>
        </is>
      </c>
    </row>
    <row r="16" ht="46" customHeight="1">
      <c r="A16" s="6" t="inlineStr">
        <is>
          <t>Reports / Alerts</t>
        </is>
      </c>
      <c r="B16" s="6" t="inlineStr">
        <is>
          <t>/api/analyze, /api/send, /api/alert-*</t>
        </is>
      </c>
      <c r="C16" s="6" t="inlineStr">
        <is>
          <t>alert-engine.js</t>
        </is>
      </c>
      <c r="D16" s="6" t="inlineStr">
        <is>
          <t>AI analysis + report + Gmail/SMTP</t>
        </is>
      </c>
      <c r="E16" s="6" t="inlineStr">
        <is>
          <t>evaluateAll(), sendTestMail(), gmailSend()/smtpSend()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60" customWidth="1" min="4" max="4"/>
  </cols>
  <sheetData>
    <row r="1">
      <c r="A1" s="7" t="inlineStr">
        <is>
          <t>Column-level reference</t>
        </is>
      </c>
    </row>
    <row r="2" ht="34" customHeight="1">
      <c r="A2" s="8" t="inlineStr">
        <is>
          <t>Every referenced column, its table and meaning - useful for writing SQL.</t>
        </is>
      </c>
    </row>
    <row r="4" ht="30" customHeight="1">
      <c r="A4" s="9" t="inlineStr">
        <is>
          <t>Column</t>
        </is>
      </c>
      <c r="B4" s="9" t="inlineStr">
        <is>
          <t>Table</t>
        </is>
      </c>
      <c r="C4" s="9" t="inlineStr">
        <is>
          <t>Type</t>
        </is>
      </c>
      <c r="D4" s="9" t="inlineStr">
        <is>
          <t>Meaning / unit</t>
        </is>
      </c>
    </row>
    <row r="5" ht="46" customHeight="1">
      <c r="A5" s="6" t="inlineStr">
        <is>
          <t>numLoadingMinute</t>
        </is>
      </c>
      <c r="B5" s="6" t="inlineStr">
        <is>
          <t>mes.tblOeeProdWasteHeader</t>
        </is>
      </c>
      <c r="C5" s="6" t="inlineStr">
        <is>
          <t>decimal</t>
        </is>
      </c>
      <c r="D5" s="6" t="inlineStr">
        <is>
          <t>loading time in minutes (runtime capture period)</t>
        </is>
      </c>
    </row>
    <row r="6" ht="46" customHeight="1">
      <c r="A6" s="6" t="inlineStr">
        <is>
          <t>NumMachineRuntime</t>
        </is>
      </c>
      <c r="B6" s="6" t="inlineStr">
        <is>
          <t>mes.tblOeeProdWasteHeader</t>
        </is>
      </c>
      <c r="C6" s="6" t="inlineStr">
        <is>
          <t>decimal</t>
        </is>
      </c>
      <c r="D6" s="6" t="inlineStr">
        <is>
          <t>machine runtime in minutes</t>
        </is>
      </c>
    </row>
    <row r="7" ht="46" customHeight="1">
      <c r="A7" s="6" t="inlineStr">
        <is>
          <t>numActualOutputQuantity</t>
        </is>
      </c>
      <c r="B7" s="6" t="inlineStr">
        <is>
          <t>mes.tblOeeProdWasteHeader</t>
        </is>
      </c>
      <c r="C7" s="6" t="inlineStr">
        <is>
          <t>decimal</t>
        </is>
      </c>
      <c r="D7" s="6" t="inlineStr">
        <is>
          <t>actual output qty (raw, in UoM)</t>
        </is>
      </c>
    </row>
    <row r="8" ht="46" customHeight="1">
      <c r="A8" s="6" t="inlineStr">
        <is>
          <t>numGoodOutputQuantity</t>
        </is>
      </c>
      <c r="B8" s="6" t="inlineStr">
        <is>
          <t>mes.tblOeeProdWasteHeader</t>
        </is>
      </c>
      <c r="C8" s="6" t="inlineStr">
        <is>
          <t>decimal</t>
        </is>
      </c>
      <c r="D8" s="6" t="inlineStr">
        <is>
          <t>good output qty (raw, in UoM)</t>
        </is>
      </c>
    </row>
    <row r="9" ht="46" customHeight="1">
      <c r="A9" s="6" t="inlineStr">
        <is>
          <t>numCapacityPerHr</t>
        </is>
      </c>
      <c r="B9" s="6" t="inlineStr">
        <is>
          <t>mes.tblOeeProdWasteHeader</t>
        </is>
      </c>
      <c r="C9" s="6" t="inlineStr">
        <is>
          <t>decimal</t>
        </is>
      </c>
      <c r="D9" s="6" t="inlineStr">
        <is>
          <t>rated capacity per hour</t>
        </is>
      </c>
    </row>
    <row r="10" ht="46" customHeight="1">
      <c r="A10" s="6" t="inlineStr">
        <is>
          <t>numShiftDurationMinute</t>
        </is>
      </c>
      <c r="B10" s="6" t="inlineStr">
        <is>
          <t>mes.tblOeeProdWasteHeader</t>
        </is>
      </c>
      <c r="C10" s="6" t="inlineStr">
        <is>
          <t>decimal</t>
        </is>
      </c>
      <c r="D10" s="6" t="inlineStr">
        <is>
          <t>shift/scheduled duration in minutes (Shift Time)</t>
        </is>
      </c>
    </row>
    <row r="11" ht="46" customHeight="1">
      <c r="A11" s="6" t="inlineStr">
        <is>
          <t>numAvailableMinute</t>
        </is>
      </c>
      <c r="B11" s="6" t="inlineStr">
        <is>
          <t>mes.tblOeeProdWasteHeader</t>
        </is>
      </c>
      <c r="C11" s="6" t="inlineStr">
        <is>
          <t>decimal</t>
        </is>
      </c>
      <c r="D11" s="6">
        <f> Shift - Planned (Available Time)</f>
        <v/>
      </c>
    </row>
    <row r="12" ht="46" customHeight="1">
      <c r="A12" s="6" t="inlineStr">
        <is>
          <t>numPlannedDowntimeMin</t>
        </is>
      </c>
      <c r="B12" s="6" t="inlineStr">
        <is>
          <t>mes.tblOeeProdWasteHeader</t>
        </is>
      </c>
      <c r="C12" s="6" t="inlineStr">
        <is>
          <t>decimal</t>
        </is>
      </c>
      <c r="D12" s="6" t="inlineStr">
        <is>
          <t>planned downtime in minutes (Planned Time)</t>
        </is>
      </c>
    </row>
    <row r="13" ht="46" customHeight="1">
      <c r="A13" s="6" t="inlineStr">
        <is>
          <t>numShiftTargetQuantity</t>
        </is>
      </c>
      <c r="B13" s="6" t="inlineStr">
        <is>
          <t>mes.tblOeeProdWasteHeader</t>
        </is>
      </c>
      <c r="C13" s="6" t="inlineStr">
        <is>
          <t>decimal</t>
        </is>
      </c>
      <c r="D13" s="6" t="inlineStr">
        <is>
          <t>target output quantity for the shift</t>
        </is>
      </c>
    </row>
    <row r="14" ht="46" customHeight="1">
      <c r="A14" s="6" t="inlineStr">
        <is>
          <t>numWastageTargetQuantity</t>
        </is>
      </c>
      <c r="B14" s="6" t="inlineStr">
        <is>
          <t>mes.tblOeeProdWasteHeader</t>
        </is>
      </c>
      <c r="C14" s="6" t="inlineStr">
        <is>
          <t>decimal</t>
        </is>
      </c>
      <c r="D14" s="6" t="inlineStr">
        <is>
          <t>waste target quantity</t>
        </is>
      </c>
    </row>
    <row r="15" ht="46" customHeight="1">
      <c r="A15" s="6" t="inlineStr">
        <is>
          <t>numNptLossTimeInMinutes</t>
        </is>
      </c>
      <c r="B15" s="6" t="inlineStr">
        <is>
          <t>mes.tblOeeProdWasteHeader</t>
        </is>
      </c>
      <c r="C15" s="6" t="inlineStr">
        <is>
          <t>decimal</t>
        </is>
      </c>
      <c r="D15" s="6" t="inlineStr">
        <is>
          <t>(NOT used for NPT%; reference only)</t>
        </is>
      </c>
    </row>
    <row r="16" ht="46" customHeight="1">
      <c r="A16" s="6" t="inlineStr">
        <is>
          <t>intLossTimeInMinutes</t>
        </is>
      </c>
      <c r="B16" s="6" t="inlineStr">
        <is>
          <t>mes.tblNPTRow</t>
        </is>
      </c>
      <c r="C16" s="6" t="inlineStr">
        <is>
          <t>int</t>
        </is>
      </c>
      <c r="D16" s="6" t="inlineStr">
        <is>
          <t>NPT loss minutes (Loss Time)</t>
        </is>
      </c>
    </row>
    <row r="17" ht="46" customHeight="1">
      <c r="A17" s="6" t="inlineStr">
        <is>
          <t>strCategoryName</t>
        </is>
      </c>
      <c r="B17" s="6" t="inlineStr">
        <is>
          <t>mes.tblNPTRow</t>
        </is>
      </c>
      <c r="C17" s="6" t="inlineStr">
        <is>
          <t>nvarchar</t>
        </is>
      </c>
      <c r="D17" s="6" t="inlineStr">
        <is>
          <t>NPT category (Utility, Electrical, Mechanical, Breakdown, Others Down Time, Unavailable Order, ...)</t>
        </is>
      </c>
    </row>
    <row r="18" ht="46" customHeight="1">
      <c r="A18" s="6" t="inlineStr">
        <is>
          <t>strSubCategoryName</t>
        </is>
      </c>
      <c r="B18" s="6" t="inlineStr">
        <is>
          <t>mes.tblNPTRow</t>
        </is>
      </c>
      <c r="C18" s="6" t="inlineStr">
        <is>
          <t>nvarchar</t>
        </is>
      </c>
      <c r="D18" s="6" t="inlineStr">
        <is>
          <t>NPT sub-category (for breakdowns)</t>
        </is>
      </c>
    </row>
    <row r="19" ht="46" customHeight="1">
      <c r="A19" s="6" t="inlineStr">
        <is>
          <t>strWrokCenterName</t>
        </is>
      </c>
      <c r="B19" s="6" t="inlineStr">
        <is>
          <t>mes.tblNPTHeader</t>
        </is>
      </c>
      <c r="C19" s="6" t="inlineStr">
        <is>
          <t>nvarchar</t>
        </is>
      </c>
      <c r="D19" s="6" t="inlineStr">
        <is>
          <t>machine / work center</t>
        </is>
      </c>
    </row>
    <row r="20" ht="46" customHeight="1">
      <c r="A20" s="6" t="inlineStr">
        <is>
          <t>dteLossTimeDate</t>
        </is>
      </c>
      <c r="B20" s="6" t="inlineStr">
        <is>
          <t>mes.tblNPTHeader</t>
        </is>
      </c>
      <c r="C20" s="6" t="inlineStr">
        <is>
          <t>date</t>
        </is>
      </c>
      <c r="D20" s="6" t="inlineStr">
        <is>
          <t>date of the downtime</t>
        </is>
      </c>
    </row>
    <row r="21" ht="46" customHeight="1">
      <c r="A21" s="6" t="inlineStr">
        <is>
          <t>isActive</t>
        </is>
      </c>
      <c r="B21" s="6" t="inlineStr">
        <is>
          <t>mes.tblNPTHeader/Row</t>
        </is>
      </c>
      <c r="C21" s="6" t="inlineStr">
        <is>
          <t>bit</t>
        </is>
      </c>
      <c r="D21" s="6" t="inlineStr">
        <is>
          <t>must = 1 for a valid record</t>
        </is>
      </c>
    </row>
    <row r="22" ht="46" customHeight="1">
      <c r="A22" s="6" t="inlineStr">
        <is>
          <t>plannedQty / outputQty / difference</t>
        </is>
      </c>
      <c r="B22" s="6" t="inlineStr">
        <is>
          <t>mes.tblProductionPlanVarianceIssue</t>
        </is>
      </c>
      <c r="C22" s="6" t="inlineStr">
        <is>
          <t>decimal</t>
        </is>
      </c>
      <c r="D22" s="6" t="inlineStr">
        <is>
          <t>planned vs actual output and their difference</t>
        </is>
      </c>
    </row>
    <row r="23" ht="46" customHeight="1">
      <c r="A23" s="6" t="inlineStr">
        <is>
          <t>dteServerDateTime</t>
        </is>
      </c>
      <c r="B23" s="6" t="inlineStr">
        <is>
          <t>mes.tblProductionPlanVarianceIssue</t>
        </is>
      </c>
      <c r="C23" s="6" t="inlineStr">
        <is>
          <t>datetime</t>
        </is>
      </c>
      <c r="D23" s="6" t="inlineStr">
        <is>
          <t>the production/log date of the variance</t>
        </is>
      </c>
    </row>
    <row r="24" ht="46" customHeight="1">
      <c r="A24" s="6" t="inlineStr">
        <is>
          <t>dteMaintenanceDate</t>
        </is>
      </c>
      <c r="B24" s="6" t="inlineStr">
        <is>
          <t>ast.tblPreventiveMaintenanceSchedule</t>
        </is>
      </c>
      <c r="C24" s="6" t="inlineStr">
        <is>
          <t>date</t>
        </is>
      </c>
      <c r="D24" s="6" t="inlineStr">
        <is>
          <t>scheduled maintenance date</t>
        </is>
      </c>
    </row>
    <row r="25" ht="46" customHeight="1">
      <c r="A25" s="6" t="inlineStr">
        <is>
          <t>intScheduleMaintenanceStatusId</t>
        </is>
      </c>
      <c r="B25" s="6" t="inlineStr">
        <is>
          <t>ast.tblPreventiveMaintenanceSchedule</t>
        </is>
      </c>
      <c r="C25" s="6" t="inlineStr">
        <is>
          <t>int</t>
        </is>
      </c>
      <c r="D25" s="6" t="inlineStr">
        <is>
          <t>4 = Done</t>
        </is>
      </c>
    </row>
    <row r="26" ht="46" customHeight="1">
      <c r="A26" s="6" t="inlineStr">
        <is>
          <t>numOverheadCost</t>
        </is>
      </c>
      <c r="B26" s="6" t="inlineStr">
        <is>
          <t>mes.tblProductionRowArc</t>
        </is>
      </c>
      <c r="C26" s="6" t="inlineStr">
        <is>
          <t>decimal</t>
        </is>
      </c>
      <c r="D26" s="6" t="inlineStr">
        <is>
          <t>manufacturing overhead cost</t>
        </is>
      </c>
    </row>
    <row r="27" ht="46" customHeight="1">
      <c r="A27" s="6" t="inlineStr">
        <is>
          <t>numAmount</t>
        </is>
      </c>
      <c r="B27" s="6" t="inlineStr">
        <is>
          <t>fin.tblAccountingJournal</t>
        </is>
      </c>
      <c r="C27" s="6" t="inlineStr">
        <is>
          <t>decimal</t>
        </is>
      </c>
      <c r="D27" s="6" t="inlineStr">
        <is>
          <t>journal amount (MOH budget)</t>
        </is>
      </c>
    </row>
    <row r="28" ht="46" customHeight="1">
      <c r="A28" s="6" t="inlineStr">
        <is>
          <t>numOverTimeHour</t>
        </is>
      </c>
      <c r="B28" s="6" t="inlineStr">
        <is>
          <t>saas.timeEmpOverTimeArc</t>
        </is>
      </c>
      <c r="C28" s="6" t="inlineStr">
        <is>
          <t>decimal</t>
        </is>
      </c>
      <c r="D28" s="6" t="inlineStr">
        <is>
          <t>overtime hours</t>
        </is>
      </c>
    </row>
    <row r="29" ht="46" customHeight="1">
      <c r="A29" s="6" t="inlineStr">
        <is>
          <t>intBusinessUnitId</t>
        </is>
      </c>
      <c r="B29" s="6" t="inlineStr">
        <is>
          <t>multiple (mes/ast/fin/saas)</t>
        </is>
      </c>
      <c r="C29" s="6" t="inlineStr">
        <is>
          <t>bigint</t>
        </is>
      </c>
      <c r="D29" s="6" t="inlineStr">
        <is>
          <t>SBU id (4=ACCL, 8=APFIL, 144=AEL, 224=AIL, 220=ABSL, 232=AAFL, 188=HRML, 189=FAL, 175=ARMCL, 237=ALEL)</t>
        </is>
      </c>
    </row>
    <row r="30" ht="46" customHeight="1">
      <c r="A30" s="6" t="inlineStr">
        <is>
          <t>intPlantId / strPlantName</t>
        </is>
      </c>
      <c r="B30" s="6" t="inlineStr">
        <is>
          <t>multiple</t>
        </is>
      </c>
      <c r="C30" s="6" t="inlineStr">
        <is>
          <t>bigint/nvarchar</t>
        </is>
      </c>
      <c r="D30" s="6" t="inlineStr">
        <is>
          <t>plant dimension</t>
        </is>
      </c>
    </row>
    <row r="31" ht="46" customHeight="1">
      <c r="A31" s="6" t="inlineStr">
        <is>
          <t>intUOMId / strUomName</t>
        </is>
      </c>
      <c r="B31" s="6" t="inlineStr">
        <is>
          <t>itm.tblUnitOfMeasurement</t>
        </is>
      </c>
      <c r="C31" s="6" t="inlineStr">
        <is>
          <t>int/nvarchar</t>
        </is>
      </c>
      <c r="D31" s="6" t="inlineStr">
        <is>
          <t>unit-of-measure 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2026-09-06T15:26:38Z</dcterms:created>
  <dcterms:modified xsi:type="dcterms:W3CDTF">2026-09-06T15:26:38Z</dcterms:modified>
</cp:coreProperties>
</file>